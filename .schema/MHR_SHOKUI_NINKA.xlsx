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ARF.MHR_SHOKUI_NINKA" sheetId="1" state="visible" r:id="rId3"/>
  </sheets>
  <definedNames>
    <definedName function="false" hidden="false" localSheetId="0" name="_xlnm.Print_Titles" vbProcedure="false">'EMARF.MHR_SHOKUI_NINKA'!$2:$2</definedName>
    <definedName function="false" hidden="true" localSheetId="0" name="_xlnm._FilterDatabase" vbProcedure="false">'EMARF.MHR_SHOKUI_NINKA'!$A$2:$J$3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<sst xmlns="http://schemas.openxmlformats.org/spreadsheetml/2006/main" count="37" uniqueCount="12">
  <si>
    <t xml:space="preserve">BUSHO_ID</t>
  </si>
  <si>
    <t xml:space="preserve">SHOKUI_ID</t>
  </si>
  <si>
    <t xml:space="preserve">TABLE_RE</t>
  </si>
  <si>
    <t xml:space="preserve">KENGEN_B</t>
  </si>
  <si>
    <t xml:space="preserve">TEKIYO_BI</t>
  </si>
  <si>
    <t xml:space="preserve">HAISHI_BI</t>
  </si>
  <si>
    <t xml:space="preserve">INSERT_TS</t>
  </si>
  <si>
    <t xml:space="preserve">INSERT_USER_ID</t>
  </si>
  <si>
    <t xml:space="preserve">UPDATE_TS</t>
  </si>
  <si>
    <t xml:space="preserve">UPDATE_USER_ID</t>
  </si>
  <si>
    <t xml:space="preserve">.+</t>
  </si>
  <si>
    <t xml:space="preserve">« NULL »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</si>
</sst>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yyyy/mm/dd\ h:mm:ss"/>
  </numFmts>
  <fonts count="6">
    <font>
      <sz val="11"/>
      <color theme="1"/>
      <name val="游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center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left" vertical="top" textRotation="18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top" textRotation="180" wrapText="false" indent="0" shrinkToFit="false"/>
      <protection locked="true" hidden="false"/>
    </xf>
    <xf numFmtId="165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標準 2" xfId="20"/>
  </cellStyles>
  <dxfs count="4">
    <dxf>
      <fill>
        <patternFill patternType="solid">
          <fgColor rgb="FF87E7A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C0C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:J11"/>
    </sheetView>
  </sheetViews>
  <sheetFormatPr defaultColWidth="8.796875" defaultRowHeight="12.75" customHeight="true" zeroHeight="false" outlineLevelRow="0" outlineLevelCol="0"/>
  <cols>
    <col collapsed="false" customWidth="true" hidden="false" outlineLevel="0" max="4" min="1" style="1" width="5.5"/>
    <col collapsed="false" customWidth="true" hidden="false" outlineLevel="0" max="6" min="5" style="1" width="9.7"/>
    <col collapsed="false" customWidth="true" hidden="false" outlineLevel="0" max="7" min="7" style="1" width="18.69"/>
    <col collapsed="false" customWidth="true" hidden="false" outlineLevel="0" max="8" min="8" style="1" width="5.5"/>
    <col collapsed="false" customWidth="true" hidden="false" outlineLevel="0" max="9" min="9" style="1" width="18.69"/>
    <col collapsed="false" customWidth="true" hidden="false" outlineLevel="0" max="10" min="10" style="1" width="5.5"/>
    <col collapsed="false" customWidth="false" hidden="false" outlineLevel="0" max="11" min="11" style="1" width="8.8"/>
    <col collapsed="false" customWidth="true" hidden="false" outlineLevel="0" max="19" min="12" style="1" width="3.5"/>
    <col collapsed="false" customWidth="true" hidden="false" outlineLevel="0" max="20" min="20" style="1" width="4.5"/>
    <col collapsed="false" customWidth="false" hidden="false" outlineLevel="0" max="16384" min="21" style="1" width="8.8"/>
  </cols>
  <sheetData>
    <row r="1" customFormat="false" ht="13.8" hidden="false" customHeight="false" outlineLevel="0" collapsed="false"/>
    <row r="2" s="3" customFormat="true" ht="83.7" hidden="false" customHeight="false" outlineLevel="0" collapsed="false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L2" s="3" t="n">
        <v>128</v>
      </c>
      <c r="M2" s="3" t="n">
        <v>64</v>
      </c>
      <c r="N2" s="3" t="n">
        <v>32</v>
      </c>
      <c r="O2" s="3" t="n">
        <v>16</v>
      </c>
      <c r="P2" s="3" t="n">
        <v>8</v>
      </c>
      <c r="Q2" s="3" t="n">
        <v>4</v>
      </c>
      <c r="R2" s="3" t="n">
        <v>2</v>
      </c>
      <c r="S2" s="3" t="n">
        <v>1</v>
      </c>
    </row>
    <row r="3" customFormat="false" ht="13.8" hidden="false" customHeight="false" outlineLevel="0" collapsed="false">
      <c r="A3" s="4" t="n">
        <v>0</v>
      </c>
      <c r="B3" s="4" t="n">
        <v>0</v>
      </c>
      <c r="C3" s="5" t="s">
        <v>10</v>
      </c>
      <c r="D3" s="4" t="n">
        <f aca="false">T3</f>
        <v>0</v>
      </c>
      <c r="E3" s="6" t="s">
        <v>11</v>
      </c>
      <c r="F3" s="6" t="s">
        <v>11</v>
      </c>
      <c r="G3" s="7" t="n">
        <f aca="true">NOW()</f>
        <v>46087.9026209437</v>
      </c>
      <c r="H3" s="4" t="n">
        <v>0</v>
      </c>
      <c r="I3" s="7" t="n">
        <f aca="true">NOW()</f>
        <v>46087.9026209441</v>
      </c>
      <c r="J3" s="4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f aca="false">SUMPRODUCT(L$2:S$2,L3:S3)</f>
        <v>0</v>
      </c>
    </row>
    <row r="4" customFormat="false" ht="13.8" hidden="false" customHeight="false" outlineLevel="0" collapsed="false">
      <c r="A4" s="4" t="n">
        <v>0</v>
      </c>
      <c r="B4" s="4" t="n">
        <v>1</v>
      </c>
      <c r="C4" s="5" t="s">
        <v>10</v>
      </c>
      <c r="D4" s="4" t="n">
        <f aca="false">T4</f>
        <v>1</v>
      </c>
      <c r="E4" s="6" t="s">
        <v>11</v>
      </c>
      <c r="F4" s="6" t="s">
        <v>11</v>
      </c>
      <c r="G4" s="7" t="n">
        <f aca="true">NOW()</f>
        <v>46087.9026209438</v>
      </c>
      <c r="H4" s="4" t="n">
        <v>0</v>
      </c>
      <c r="I4" s="7" t="n">
        <f aca="true">NOW()</f>
        <v>46087.9026209441</v>
      </c>
      <c r="J4" s="4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s="1" t="n">
        <v>1</v>
      </c>
      <c r="T4" s="1" t="n">
        <f aca="false">SUMPRODUCT(L$2:S$2,L4:S4)</f>
        <v>1</v>
      </c>
    </row>
    <row r="5" customFormat="false" ht="13.8" hidden="false" customHeight="false" outlineLevel="0" collapsed="false">
      <c r="A5" s="4" t="n">
        <v>0</v>
      </c>
      <c r="B5" s="4" t="n">
        <v>2</v>
      </c>
      <c r="C5" s="5" t="s">
        <v>10</v>
      </c>
      <c r="D5" s="4" t="n">
        <f aca="false">T5</f>
        <v>3</v>
      </c>
      <c r="E5" s="6" t="s">
        <v>11</v>
      </c>
      <c r="F5" s="6" t="s">
        <v>11</v>
      </c>
      <c r="G5" s="7" t="n">
        <f aca="true">NOW()</f>
        <v>46087.9026209439</v>
      </c>
      <c r="H5" s="4" t="n">
        <v>0</v>
      </c>
      <c r="I5" s="7" t="n">
        <f aca="true">NOW()</f>
        <v>46087.9026209441</v>
      </c>
      <c r="J5" s="4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1</v>
      </c>
      <c r="S5" s="1" t="n">
        <v>1</v>
      </c>
      <c r="T5" s="1" t="n">
        <f aca="false">SUMPRODUCT(L$2:S$2,L5:S5)</f>
        <v>3</v>
      </c>
    </row>
    <row r="6" customFormat="false" ht="13.8" hidden="false" customHeight="false" outlineLevel="0" collapsed="false">
      <c r="A6" s="4" t="n">
        <v>0</v>
      </c>
      <c r="B6" s="4" t="n">
        <v>3</v>
      </c>
      <c r="C6" s="5" t="s">
        <v>10</v>
      </c>
      <c r="D6" s="4" t="n">
        <f aca="false">T6</f>
        <v>7</v>
      </c>
      <c r="E6" s="6" t="s">
        <v>11</v>
      </c>
      <c r="F6" s="6" t="s">
        <v>11</v>
      </c>
      <c r="G6" s="7" t="n">
        <f aca="true">NOW()</f>
        <v>46087.9026209439</v>
      </c>
      <c r="H6" s="4" t="n">
        <v>0</v>
      </c>
      <c r="I6" s="7" t="n">
        <f aca="true">NOW()</f>
        <v>46087.9026209442</v>
      </c>
      <c r="J6" s="4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1</v>
      </c>
      <c r="R6" s="1" t="n">
        <v>1</v>
      </c>
      <c r="S6" s="1" t="n">
        <v>1</v>
      </c>
      <c r="T6" s="1" t="n">
        <f aca="false">SUMPRODUCT(L$2:S$2,L6:S6)</f>
        <v>7</v>
      </c>
    </row>
    <row r="7" customFormat="false" ht="13.8" hidden="false" customHeight="false" outlineLevel="0" collapsed="false">
      <c r="A7" s="4" t="n">
        <v>0</v>
      </c>
      <c r="B7" s="4" t="n">
        <v>4</v>
      </c>
      <c r="C7" s="5" t="s">
        <v>10</v>
      </c>
      <c r="D7" s="4" t="n">
        <f aca="false">T7</f>
        <v>15</v>
      </c>
      <c r="E7" s="6" t="s">
        <v>11</v>
      </c>
      <c r="F7" s="6" t="s">
        <v>11</v>
      </c>
      <c r="G7" s="7" t="n">
        <f aca="true">NOW()</f>
        <v>46087.9026209439</v>
      </c>
      <c r="H7" s="4" t="n">
        <v>0</v>
      </c>
      <c r="I7" s="7" t="n">
        <f aca="true">NOW()</f>
        <v>46087.9026209442</v>
      </c>
      <c r="J7" s="4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1</v>
      </c>
      <c r="Q7" s="1" t="n">
        <v>1</v>
      </c>
      <c r="R7" s="1" t="n">
        <v>1</v>
      </c>
      <c r="S7" s="1" t="n">
        <v>1</v>
      </c>
      <c r="T7" s="1" t="n">
        <f aca="false">SUMPRODUCT(L$2:S$2,L7:S7)</f>
        <v>15</v>
      </c>
    </row>
    <row r="8" customFormat="false" ht="13.8" hidden="false" customHeight="false" outlineLevel="0" collapsed="false">
      <c r="A8" s="4" t="n">
        <v>0</v>
      </c>
      <c r="B8" s="4" t="n">
        <v>5</v>
      </c>
      <c r="C8" s="5" t="s">
        <v>10</v>
      </c>
      <c r="D8" s="4" t="n">
        <f aca="false">T8</f>
        <v>31</v>
      </c>
      <c r="E8" s="6" t="s">
        <v>11</v>
      </c>
      <c r="F8" s="6" t="s">
        <v>11</v>
      </c>
      <c r="G8" s="7" t="n">
        <f aca="true">NOW()</f>
        <v>46087.902620944</v>
      </c>
      <c r="H8" s="4" t="n">
        <v>0</v>
      </c>
      <c r="I8" s="7" t="n">
        <f aca="true">NOW()</f>
        <v>46087.9026209442</v>
      </c>
      <c r="J8" s="4" t="n">
        <v>0</v>
      </c>
      <c r="L8" s="1" t="n">
        <v>0</v>
      </c>
      <c r="M8" s="1" t="n">
        <v>0</v>
      </c>
      <c r="N8" s="1" t="n">
        <v>0</v>
      </c>
      <c r="O8" s="1" t="n">
        <v>1</v>
      </c>
      <c r="P8" s="1" t="n">
        <v>1</v>
      </c>
      <c r="Q8" s="1" t="n">
        <v>1</v>
      </c>
      <c r="R8" s="1" t="n">
        <v>1</v>
      </c>
      <c r="S8" s="1" t="n">
        <v>1</v>
      </c>
      <c r="T8" s="1" t="n">
        <f aca="false">SUMPRODUCT(L$2:S$2,L8:S8)</f>
        <v>31</v>
      </c>
    </row>
    <row r="9" customFormat="false" ht="13.8" hidden="false" customHeight="false" outlineLevel="0" collapsed="false">
      <c r="A9" s="4" t="n">
        <v>0</v>
      </c>
      <c r="B9" s="4" t="n">
        <v>6</v>
      </c>
      <c r="C9" s="5" t="s">
        <v>10</v>
      </c>
      <c r="D9" s="4" t="n">
        <f aca="false">T9</f>
        <v>63</v>
      </c>
      <c r="E9" s="6" t="s">
        <v>11</v>
      </c>
      <c r="F9" s="6" t="s">
        <v>11</v>
      </c>
      <c r="G9" s="7" t="n">
        <f aca="true">NOW()</f>
        <v>46087.902620944</v>
      </c>
      <c r="H9" s="4" t="n">
        <v>0</v>
      </c>
      <c r="I9" s="7" t="n">
        <f aca="true">NOW()</f>
        <v>46087.9026209442</v>
      </c>
      <c r="J9" s="4" t="n">
        <v>0</v>
      </c>
      <c r="L9" s="1" t="n">
        <v>0</v>
      </c>
      <c r="M9" s="1" t="n">
        <v>0</v>
      </c>
      <c r="N9" s="1" t="n">
        <v>1</v>
      </c>
      <c r="O9" s="1" t="n">
        <v>1</v>
      </c>
      <c r="P9" s="1" t="n">
        <v>1</v>
      </c>
      <c r="Q9" s="1" t="n">
        <v>1</v>
      </c>
      <c r="R9" s="1" t="n">
        <v>1</v>
      </c>
      <c r="S9" s="1" t="n">
        <v>1</v>
      </c>
      <c r="T9" s="1" t="n">
        <f aca="false">SUMPRODUCT(L$2:S$2,L9:S9)</f>
        <v>63</v>
      </c>
    </row>
    <row r="10" customFormat="false" ht="13.8" hidden="false" customHeight="false" outlineLevel="0" collapsed="false">
      <c r="A10" s="4" t="n">
        <v>0</v>
      </c>
      <c r="B10" s="4" t="n">
        <v>7</v>
      </c>
      <c r="C10" s="5" t="s">
        <v>10</v>
      </c>
      <c r="D10" s="4" t="n">
        <f aca="false">T10</f>
        <v>127</v>
      </c>
      <c r="E10" s="6" t="s">
        <v>11</v>
      </c>
      <c r="F10" s="6" t="s">
        <v>11</v>
      </c>
      <c r="G10" s="7" t="n">
        <f aca="true">NOW()</f>
        <v>46087.902620944</v>
      </c>
      <c r="H10" s="4" t="n">
        <v>0</v>
      </c>
      <c r="I10" s="7" t="n">
        <f aca="true">NOW()</f>
        <v>46087.9026209443</v>
      </c>
      <c r="J10" s="4" t="n">
        <v>0</v>
      </c>
      <c r="L10" s="1" t="n">
        <v>0</v>
      </c>
      <c r="M10" s="1" t="n">
        <v>1</v>
      </c>
      <c r="N10" s="1" t="n">
        <v>1</v>
      </c>
      <c r="O10" s="1" t="n">
        <v>1</v>
      </c>
      <c r="P10" s="1" t="n">
        <v>1</v>
      </c>
      <c r="Q10" s="1" t="n">
        <v>1</v>
      </c>
      <c r="R10" s="1" t="n">
        <v>1</v>
      </c>
      <c r="S10" s="1" t="n">
        <v>1</v>
      </c>
      <c r="T10" s="1" t="n">
        <f aca="false">SUMPRODUCT(L$2:S$2,L10:S10)</f>
        <v>127</v>
      </c>
    </row>
    <row r="11" customFormat="false" ht="13.8" hidden="false" customHeight="false" outlineLevel="0" collapsed="false">
      <c r="A11" s="4" t="n">
        <v>0</v>
      </c>
      <c r="B11" s="4" t="n">
        <v>8</v>
      </c>
      <c r="C11" s="5" t="s">
        <v>10</v>
      </c>
      <c r="D11" s="4" t="n">
        <f aca="false">T11</f>
        <v>255</v>
      </c>
      <c r="E11" s="6" t="s">
        <v>11</v>
      </c>
      <c r="F11" s="6" t="s">
        <v>11</v>
      </c>
      <c r="G11" s="7" t="n">
        <f aca="true">NOW()</f>
        <v>46087.902620944</v>
      </c>
      <c r="H11" s="4" t="n">
        <v>0</v>
      </c>
      <c r="I11" s="7" t="n">
        <f aca="true">NOW()</f>
        <v>46087.9026209443</v>
      </c>
      <c r="J11" s="4" t="n">
        <v>0</v>
      </c>
      <c r="L11" s="1" t="n">
        <v>1</v>
      </c>
      <c r="M11" s="1" t="n">
        <v>1</v>
      </c>
      <c r="N11" s="1" t="n">
        <v>1</v>
      </c>
      <c r="O11" s="1" t="n">
        <v>1</v>
      </c>
      <c r="P11" s="1" t="n">
        <v>1</v>
      </c>
      <c r="Q11" s="1" t="n">
        <v>1</v>
      </c>
      <c r="R11" s="1" t="n">
        <v>1</v>
      </c>
      <c r="S11" s="1" t="n">
        <v>1</v>
      </c>
      <c r="T11" s="1" t="n">
        <f aca="false">SUMPRODUCT(L$2:S$2,L11:S11)</f>
        <v>255</v>
      </c>
    </row>
  </sheetData>
  <autoFilter ref="A2:J3"/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&amp;R&amp;D &amp;T</oddHeader>
    <oddFooter>&amp;C&amp;P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LibreOffice/25.2.3.2$Windows_x86 LibreOffice_project/bbb074479178df812d175f709636b368952c2ce3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2026-03-05T08:29:32Z</dcterms:created>
  <dc:creator>利行 福尾</dc:creator>
  <dc:description/>
  <dc:language>ja-JP</dc:language>
  <cp:lastModifiedBy>利行 福尾</cp:lastModifiedBy>
  <dcterms:modified xsi:type="dcterms:W3CDTF">2026-03-06T01:14:34Z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