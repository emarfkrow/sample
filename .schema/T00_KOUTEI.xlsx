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_fuk\git\sample\.schema\"/>
    </mc:Choice>
  </mc:AlternateContent>
  <xr:revisionPtr revIDLastSave="0" documentId="13_ncr:1_{3780F3DE-9D13-4A62-8859-C9B4DC080277}" xr6:coauthVersionLast="47" xr6:coauthVersionMax="47" xr10:uidLastSave="{00000000-0000-0000-0000-000000000000}"/>
  <bookViews>
    <workbookView xWindow="-13965" yWindow="-16320" windowWidth="29040" windowHeight="15720" xr2:uid="{9D3E1CD5-F2B9-4797-93E9-C328665C1881}"/>
  </bookViews>
  <sheets>
    <sheet name="EMARF.T00_KOUTEI" sheetId="2" r:id="rId1"/>
  </sheets>
  <definedNames>
    <definedName name="_xlnm._FilterDatabase" localSheetId="0" hidden="1">EMARF.T00_KOUTEI!$A$2:$J$9</definedName>
    <definedName name="_xlnm.Print_Titles" localSheetId="0">EMARF.T00_KOUTEI!$2:$2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2" l="1"/>
  <c r="F14" i="2"/>
  <c r="F13" i="2"/>
  <c r="F12" i="2"/>
  <c r="F11" i="2"/>
  <c r="F10" i="2"/>
  <c r="F8" i="2"/>
  <c r="F7" i="2"/>
  <c r="F6" i="2"/>
  <c r="F5" i="2"/>
  <c r="F4" i="2"/>
  <c r="F3" i="2"/>
  <c r="I16" i="2"/>
  <c r="G16" i="2"/>
  <c r="I15" i="2"/>
  <c r="G15" i="2"/>
  <c r="I14" i="2"/>
  <c r="G14" i="2"/>
  <c r="I13" i="2"/>
  <c r="G13" i="2"/>
  <c r="I12" i="2"/>
  <c r="G12" i="2"/>
  <c r="I11" i="2"/>
  <c r="G11" i="2"/>
  <c r="I10" i="2"/>
  <c r="G10" i="2"/>
  <c r="I9" i="2"/>
  <c r="I8" i="2"/>
  <c r="I7" i="2"/>
  <c r="I6" i="2"/>
  <c r="I5" i="2"/>
  <c r="I4" i="2"/>
  <c r="I3" i="2"/>
  <c r="G9" i="2"/>
  <c r="G8" i="2"/>
  <c r="G7" i="2"/>
  <c r="G6" i="2"/>
  <c r="G5" i="2"/>
  <c r="G4" i="2"/>
  <c r="G3" i="2"/>
</calcChain>
</file>

<file path=xl/sharedStrings.xml><?xml version="1.0" encoding="utf-8"?>
<sst xmlns="http://schemas.openxmlformats.org/spreadsheetml/2006/main" count="66" uniqueCount="32">
  <si>
    <t xml:space="preserve">8         </t>
  </si>
  <si>
    <t>工程７</t>
  </si>
  <si>
    <t>工程６</t>
  </si>
  <si>
    <t>工程５</t>
  </si>
  <si>
    <t>工程４</t>
  </si>
  <si>
    <t>工程３</t>
  </si>
  <si>
    <t>工程２</t>
  </si>
  <si>
    <t>工程１</t>
  </si>
  <si>
    <t>UPDATE_USER_ID</t>
  </si>
  <si>
    <t>UPDATE_TS</t>
  </si>
  <si>
    <t>INSERT_USER_ID</t>
  </si>
  <si>
    <t>INSERT_TS</t>
  </si>
  <si>
    <t>OYA_KOUTEI_ID</t>
  </si>
  <si>
    <t>SHURYO_BI</t>
  </si>
  <si>
    <t>KAISHI_BI</t>
  </si>
  <si>
    <t>KOUTEI_MEI</t>
  </si>
  <si>
    <t>KOUTEI_ID</t>
  </si>
  <si>
    <t>A01</t>
    <phoneticPr fontId="2"/>
  </si>
  <si>
    <t>A02</t>
    <phoneticPr fontId="2"/>
  </si>
  <si>
    <t>A03</t>
    <phoneticPr fontId="2"/>
  </si>
  <si>
    <t>A04</t>
  </si>
  <si>
    <t>A05</t>
  </si>
  <si>
    <t>A06</t>
  </si>
  <si>
    <t>A07</t>
  </si>
  <si>
    <t>SAGYOKU_CD</t>
    <phoneticPr fontId="2"/>
  </si>
  <si>
    <t>工程８</t>
  </si>
  <si>
    <t>工程９</t>
  </si>
  <si>
    <t>工程１０</t>
  </si>
  <si>
    <t>工程１１</t>
  </si>
  <si>
    <t>工程１２</t>
  </si>
  <si>
    <t>工程１３</t>
  </si>
  <si>
    <t>工程１４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</si>
</sst>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\ h:mm:ss.000"/>
    <numFmt numFmtId="177" formatCode="yyyy/mm/dd\ h:mm:ss"/>
  </numFmts>
  <fonts count="5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indexed="22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1" xfId="1" applyBorder="1">
      <alignment vertical="center"/>
    </xf>
    <xf numFmtId="176" fontId="1" fillId="0" borderId="1" xfId="1" applyNumberFormat="1" applyBorder="1">
      <alignment vertical="center"/>
    </xf>
    <xf numFmtId="0" fontId="3" fillId="0" borderId="1" xfId="1" applyFont="1" applyBorder="1">
      <alignment vertical="center"/>
    </xf>
    <xf numFmtId="177" fontId="1" fillId="0" borderId="1" xfId="1" applyNumberFormat="1" applyBorder="1">
      <alignment vertical="center"/>
    </xf>
    <xf numFmtId="1" fontId="1" fillId="0" borderId="1" xfId="1" applyNumberFormat="1" applyBorder="1">
      <alignment vertical="center"/>
    </xf>
    <xf numFmtId="0" fontId="4" fillId="2" borderId="1" xfId="1" applyFont="1" applyFill="1" applyBorder="1" applyAlignment="1">
      <alignment vertical="top" textRotation="180"/>
    </xf>
    <xf numFmtId="0" fontId="1" fillId="0" borderId="0" xfId="1" applyAlignment="1">
      <alignment vertical="top" textRotation="180"/>
    </xf>
  </cellXfs>
  <cellStyles count="2">
    <cellStyle name="標準" xfId="0" builtinId="0"/>
    <cellStyle name="標準 2" xfId="1" xr:uid="{AA4B415C-9FDF-47E2-9BEE-7842C4C83F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41428-FDF3-4B62-B462-74268129D79A}">
  <dimension ref="A2:J16"/>
  <sheetViews>
    <sheetView tabSelected="1" zoomScale="85" zoomScaleNormal="85" workbookViewId="0">
      <selection activeCell="A3" sqref="A3:J16"/>
    </sheetView>
  </sheetViews>
  <sheetFormatPr defaultRowHeight="13.2" x14ac:dyDescent="0.45"/>
  <cols>
    <col min="1" max="2" width="6.5" style="1" bestFit="1" customWidth="1"/>
    <col min="3" max="4" width="16.8984375" style="1" bestFit="1" customWidth="1"/>
    <col min="5" max="6" width="6.5" style="1" bestFit="1" customWidth="1"/>
    <col min="7" max="7" width="17.8984375" style="1" bestFit="1" customWidth="1"/>
    <col min="8" max="8" width="7.8984375" style="1" bestFit="1" customWidth="1"/>
    <col min="9" max="9" width="17.8984375" style="1" bestFit="1" customWidth="1"/>
    <col min="10" max="10" width="7.8984375" style="1" bestFit="1" customWidth="1"/>
    <col min="11" max="16384" width="8.796875" style="1"/>
  </cols>
  <sheetData>
    <row r="2" spans="1:10" s="8" customFormat="1" ht="86.4" x14ac:dyDescent="0.45">
      <c r="A2" s="7" t="s">
        <v>16</v>
      </c>
      <c r="B2" s="7" t="s">
        <v>15</v>
      </c>
      <c r="C2" s="7" t="s">
        <v>14</v>
      </c>
      <c r="D2" s="7" t="s">
        <v>13</v>
      </c>
      <c r="E2" s="7" t="s">
        <v>24</v>
      </c>
      <c r="F2" s="7" t="s">
        <v>12</v>
      </c>
      <c r="G2" s="7" t="s">
        <v>11</v>
      </c>
      <c r="H2" s="7" t="s">
        <v>10</v>
      </c>
      <c r="I2" s="7" t="s">
        <v>9</v>
      </c>
      <c r="J2" s="7" t="s">
        <v>8</v>
      </c>
    </row>
    <row r="3" spans="1:10" x14ac:dyDescent="0.45">
      <c r="A3" s="6">
        <v>1</v>
      </c>
      <c r="B3" s="2" t="s">
        <v>7</v>
      </c>
      <c r="C3" s="5">
        <v>46174</v>
      </c>
      <c r="D3" s="5">
        <v>46174</v>
      </c>
      <c r="E3" s="5" t="s">
        <v>17</v>
      </c>
      <c r="F3" s="6">
        <f>A7</f>
        <v>5</v>
      </c>
      <c r="G3" s="3" t="str">
        <f ca="1">TEXT(NOW(),"yyyy/mm/dd hh:mm:ss")</f>
        <v>2026/07/24 20:10:55</v>
      </c>
      <c r="H3" s="2" t="s">
        <v>0</v>
      </c>
      <c r="I3" s="3" t="str">
        <f t="shared" ref="I3:I16" ca="1" si="0">TEXT(NOW(),"yyyy/mm/dd hh:mm:ss")</f>
        <v>2026/07/24 20:10:55</v>
      </c>
      <c r="J3" s="2" t="s">
        <v>0</v>
      </c>
    </row>
    <row r="4" spans="1:10" x14ac:dyDescent="0.45">
      <c r="A4" s="6">
        <v>2</v>
      </c>
      <c r="B4" s="2" t="s">
        <v>6</v>
      </c>
      <c r="C4" s="5">
        <v>46171</v>
      </c>
      <c r="D4" s="5">
        <v>46171</v>
      </c>
      <c r="E4" s="5" t="s">
        <v>18</v>
      </c>
      <c r="F4" s="6">
        <f>A7</f>
        <v>5</v>
      </c>
      <c r="G4" s="3" t="str">
        <f t="shared" ref="G4:G16" ca="1" si="1">TEXT(NOW(),"yyyy/mm/dd hh:mm:ss")</f>
        <v>2026/07/24 20:10:55</v>
      </c>
      <c r="H4" s="2" t="s">
        <v>0</v>
      </c>
      <c r="I4" s="3" t="str">
        <f t="shared" ca="1" si="0"/>
        <v>2026/07/24 20:10:55</v>
      </c>
      <c r="J4" s="2" t="s">
        <v>0</v>
      </c>
    </row>
    <row r="5" spans="1:10" x14ac:dyDescent="0.45">
      <c r="A5" s="6">
        <v>3</v>
      </c>
      <c r="B5" s="2" t="s">
        <v>5</v>
      </c>
      <c r="C5" s="5">
        <v>46174</v>
      </c>
      <c r="D5" s="5">
        <v>46174</v>
      </c>
      <c r="E5" s="5" t="s">
        <v>19</v>
      </c>
      <c r="F5" s="6">
        <f>A8</f>
        <v>6</v>
      </c>
      <c r="G5" s="3" t="str">
        <f t="shared" ca="1" si="1"/>
        <v>2026/07/24 20:10:55</v>
      </c>
      <c r="H5" s="2" t="s">
        <v>0</v>
      </c>
      <c r="I5" s="3" t="str">
        <f t="shared" ca="1" si="0"/>
        <v>2026/07/24 20:10:55</v>
      </c>
      <c r="J5" s="2" t="s">
        <v>0</v>
      </c>
    </row>
    <row r="6" spans="1:10" x14ac:dyDescent="0.45">
      <c r="A6" s="6">
        <v>4</v>
      </c>
      <c r="B6" s="2" t="s">
        <v>4</v>
      </c>
      <c r="C6" s="5">
        <v>46171</v>
      </c>
      <c r="D6" s="5">
        <v>46171</v>
      </c>
      <c r="E6" s="5" t="s">
        <v>20</v>
      </c>
      <c r="F6" s="6">
        <f>A8</f>
        <v>6</v>
      </c>
      <c r="G6" s="3" t="str">
        <f t="shared" ca="1" si="1"/>
        <v>2026/07/24 20:10:55</v>
      </c>
      <c r="H6" s="2" t="s">
        <v>0</v>
      </c>
      <c r="I6" s="3" t="str">
        <f t="shared" ca="1" si="0"/>
        <v>2026/07/24 20:10:55</v>
      </c>
      <c r="J6" s="2" t="s">
        <v>0</v>
      </c>
    </row>
    <row r="7" spans="1:10" x14ac:dyDescent="0.45">
      <c r="A7" s="6">
        <v>5</v>
      </c>
      <c r="B7" s="2" t="s">
        <v>3</v>
      </c>
      <c r="C7" s="5">
        <v>46175</v>
      </c>
      <c r="D7" s="5">
        <v>46175</v>
      </c>
      <c r="E7" s="5" t="s">
        <v>21</v>
      </c>
      <c r="F7" s="6">
        <f>A9</f>
        <v>7</v>
      </c>
      <c r="G7" s="3" t="str">
        <f t="shared" ca="1" si="1"/>
        <v>2026/07/24 20:10:55</v>
      </c>
      <c r="H7" s="2" t="s">
        <v>0</v>
      </c>
      <c r="I7" s="3" t="str">
        <f t="shared" ca="1" si="0"/>
        <v>2026/07/24 20:10:55</v>
      </c>
      <c r="J7" s="2" t="s">
        <v>0</v>
      </c>
    </row>
    <row r="8" spans="1:10" x14ac:dyDescent="0.45">
      <c r="A8" s="6">
        <v>6</v>
      </c>
      <c r="B8" s="2" t="s">
        <v>2</v>
      </c>
      <c r="C8" s="5">
        <v>46176</v>
      </c>
      <c r="D8" s="5">
        <v>46176</v>
      </c>
      <c r="E8" s="5" t="s">
        <v>22</v>
      </c>
      <c r="F8" s="6">
        <f>A9</f>
        <v>7</v>
      </c>
      <c r="G8" s="3" t="str">
        <f t="shared" ca="1" si="1"/>
        <v>2026/07/24 20:10:55</v>
      </c>
      <c r="H8" s="2" t="s">
        <v>0</v>
      </c>
      <c r="I8" s="3" t="str">
        <f t="shared" ca="1" si="0"/>
        <v>2026/07/24 20:10:55</v>
      </c>
      <c r="J8" s="2" t="s">
        <v>0</v>
      </c>
    </row>
    <row r="9" spans="1:10" x14ac:dyDescent="0.45">
      <c r="A9" s="6">
        <v>7</v>
      </c>
      <c r="B9" s="2" t="s">
        <v>1</v>
      </c>
      <c r="C9" s="5">
        <v>46177</v>
      </c>
      <c r="D9" s="5">
        <v>46177</v>
      </c>
      <c r="E9" s="5" t="s">
        <v>23</v>
      </c>
      <c r="F9" s="4"/>
      <c r="G9" s="3" t="str">
        <f t="shared" ca="1" si="1"/>
        <v>2026/07/24 20:10:55</v>
      </c>
      <c r="H9" s="2" t="s">
        <v>0</v>
      </c>
      <c r="I9" s="3" t="str">
        <f t="shared" ca="1" si="0"/>
        <v>2026/07/24 20:10:55</v>
      </c>
      <c r="J9" s="2" t="s">
        <v>0</v>
      </c>
    </row>
    <row r="10" spans="1:10" x14ac:dyDescent="0.45">
      <c r="A10" s="6">
        <v>8</v>
      </c>
      <c r="B10" s="2" t="s">
        <v>25</v>
      </c>
      <c r="C10" s="5">
        <v>46174</v>
      </c>
      <c r="D10" s="5">
        <v>46174</v>
      </c>
      <c r="E10" s="5" t="s">
        <v>17</v>
      </c>
      <c r="F10" s="6">
        <f>A14</f>
        <v>12</v>
      </c>
      <c r="G10" s="3" t="str">
        <f ca="1">TEXT(NOW(),"yyyy/mm/dd hh:mm:ss")</f>
        <v>2026/07/24 20:10:55</v>
      </c>
      <c r="H10" s="2" t="s">
        <v>0</v>
      </c>
      <c r="I10" s="3" t="str">
        <f t="shared" ca="1" si="0"/>
        <v>2026/07/24 20:10:55</v>
      </c>
      <c r="J10" s="2" t="s">
        <v>0</v>
      </c>
    </row>
    <row r="11" spans="1:10" x14ac:dyDescent="0.45">
      <c r="A11" s="6">
        <v>9</v>
      </c>
      <c r="B11" s="2" t="s">
        <v>26</v>
      </c>
      <c r="C11" s="5">
        <v>46171</v>
      </c>
      <c r="D11" s="5">
        <v>46171</v>
      </c>
      <c r="E11" s="5" t="s">
        <v>18</v>
      </c>
      <c r="F11" s="6">
        <f>A14</f>
        <v>12</v>
      </c>
      <c r="G11" s="3" t="str">
        <f t="shared" ca="1" si="1"/>
        <v>2026/07/24 20:10:55</v>
      </c>
      <c r="H11" s="2" t="s">
        <v>0</v>
      </c>
      <c r="I11" s="3" t="str">
        <f t="shared" ca="1" si="0"/>
        <v>2026/07/24 20:10:55</v>
      </c>
      <c r="J11" s="2" t="s">
        <v>0</v>
      </c>
    </row>
    <row r="12" spans="1:10" x14ac:dyDescent="0.45">
      <c r="A12" s="6">
        <v>10</v>
      </c>
      <c r="B12" s="2" t="s">
        <v>27</v>
      </c>
      <c r="C12" s="5">
        <v>46174</v>
      </c>
      <c r="D12" s="5">
        <v>46174</v>
      </c>
      <c r="E12" s="5" t="s">
        <v>19</v>
      </c>
      <c r="F12" s="6">
        <f>A15</f>
        <v>13</v>
      </c>
      <c r="G12" s="3" t="str">
        <f t="shared" ca="1" si="1"/>
        <v>2026/07/24 20:10:55</v>
      </c>
      <c r="H12" s="2" t="s">
        <v>0</v>
      </c>
      <c r="I12" s="3" t="str">
        <f t="shared" ca="1" si="0"/>
        <v>2026/07/24 20:10:55</v>
      </c>
      <c r="J12" s="2" t="s">
        <v>0</v>
      </c>
    </row>
    <row r="13" spans="1:10" x14ac:dyDescent="0.45">
      <c r="A13" s="6">
        <v>11</v>
      </c>
      <c r="B13" s="2" t="s">
        <v>28</v>
      </c>
      <c r="C13" s="5">
        <v>46171</v>
      </c>
      <c r="D13" s="5">
        <v>46171</v>
      </c>
      <c r="E13" s="5" t="s">
        <v>20</v>
      </c>
      <c r="F13" s="6">
        <f>A15</f>
        <v>13</v>
      </c>
      <c r="G13" s="3" t="str">
        <f t="shared" ca="1" si="1"/>
        <v>2026/07/24 20:10:55</v>
      </c>
      <c r="H13" s="2" t="s">
        <v>0</v>
      </c>
      <c r="I13" s="3" t="str">
        <f t="shared" ca="1" si="0"/>
        <v>2026/07/24 20:10:55</v>
      </c>
      <c r="J13" s="2" t="s">
        <v>0</v>
      </c>
    </row>
    <row r="14" spans="1:10" x14ac:dyDescent="0.45">
      <c r="A14" s="6">
        <v>12</v>
      </c>
      <c r="B14" s="2" t="s">
        <v>29</v>
      </c>
      <c r="C14" s="5">
        <v>46175</v>
      </c>
      <c r="D14" s="5">
        <v>46175</v>
      </c>
      <c r="E14" s="5" t="s">
        <v>21</v>
      </c>
      <c r="F14" s="6">
        <f>A16</f>
        <v>14</v>
      </c>
      <c r="G14" s="3" t="str">
        <f t="shared" ca="1" si="1"/>
        <v>2026/07/24 20:10:55</v>
      </c>
      <c r="H14" s="2" t="s">
        <v>0</v>
      </c>
      <c r="I14" s="3" t="str">
        <f t="shared" ca="1" si="0"/>
        <v>2026/07/24 20:10:55</v>
      </c>
      <c r="J14" s="2" t="s">
        <v>0</v>
      </c>
    </row>
    <row r="15" spans="1:10" x14ac:dyDescent="0.45">
      <c r="A15" s="6">
        <v>13</v>
      </c>
      <c r="B15" s="2" t="s">
        <v>30</v>
      </c>
      <c r="C15" s="5">
        <v>46176</v>
      </c>
      <c r="D15" s="5">
        <v>46176</v>
      </c>
      <c r="E15" s="5" t="s">
        <v>22</v>
      </c>
      <c r="F15" s="6">
        <f>A16</f>
        <v>14</v>
      </c>
      <c r="G15" s="3" t="str">
        <f t="shared" ca="1" si="1"/>
        <v>2026/07/24 20:10:55</v>
      </c>
      <c r="H15" s="2" t="s">
        <v>0</v>
      </c>
      <c r="I15" s="3" t="str">
        <f t="shared" ca="1" si="0"/>
        <v>2026/07/24 20:10:55</v>
      </c>
      <c r="J15" s="2" t="s">
        <v>0</v>
      </c>
    </row>
    <row r="16" spans="1:10" x14ac:dyDescent="0.45">
      <c r="A16" s="6">
        <v>14</v>
      </c>
      <c r="B16" s="2" t="s">
        <v>31</v>
      </c>
      <c r="C16" s="5">
        <v>46177</v>
      </c>
      <c r="D16" s="5">
        <v>46177</v>
      </c>
      <c r="E16" s="5" t="s">
        <v>23</v>
      </c>
      <c r="F16" s="4"/>
      <c r="G16" s="3" t="str">
        <f t="shared" ca="1" si="1"/>
        <v>2026/07/24 20:10:55</v>
      </c>
      <c r="H16" s="2" t="s">
        <v>0</v>
      </c>
      <c r="I16" s="3" t="str">
        <f t="shared" ca="1" si="0"/>
        <v>2026/07/24 20:10:55</v>
      </c>
      <c r="J16" s="2" t="s">
        <v>0</v>
      </c>
    </row>
  </sheetData>
  <autoFilter ref="A2:J9" xr:uid="{B6E87C38-7E0A-4776-B33B-6E5095FE9942}"/>
  <phoneticPr fontId="2"/>
  <pageMargins left="0.75" right="0.75" top="1" bottom="1" header="0.5" footer="0.5"/>
  <pageSetup paperSize="9" orientation="portrait" r:id="rId1"/>
  <headerFooter>
    <oddHeader>&amp;R&amp;D &amp;T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EMARF.T00_KOUTEI</vt:lpstr>
      <vt:lpstr>EMARF.T00_KOUTEI!Print_Titles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利行 福尾</dc:creator>
  <cp:lastModifiedBy>利行 福尾</cp:lastModifiedBy>
  <dcterms:created xsi:type="dcterms:W3CDTF">2026-06-24T01:26:33Z</dcterms:created>
  <dcterms:modified xsi:type="dcterms:W3CDTF">2026-07-24T11:30:12Z</dcterms:modified>
</cp:coreProperties>
</file>